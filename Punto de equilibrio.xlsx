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Oscar\Documents\Zashary\"/>
    </mc:Choice>
  </mc:AlternateContent>
  <xr:revisionPtr revIDLastSave="0" documentId="13_ncr:1_{8F6B6E88-16FB-4894-879C-387310661317}" xr6:coauthVersionLast="47" xr6:coauthVersionMax="47" xr10:uidLastSave="{00000000-0000-0000-0000-000000000000}"/>
  <bookViews>
    <workbookView xWindow="-120" yWindow="-120" windowWidth="20730" windowHeight="11040" xr2:uid="{00000000-000D-0000-FFFF-FFFF00000000}"/>
  </bookViews>
  <sheets>
    <sheet name="Punto de Equilibri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1" l="1"/>
  <c r="D16" i="1"/>
  <c r="D17" i="1"/>
  <c r="D18" i="1"/>
  <c r="D19" i="1"/>
  <c r="D20" i="1"/>
  <c r="D21" i="1"/>
  <c r="D22" i="1"/>
  <c r="D14" i="1"/>
  <c r="D13" i="1"/>
  <c r="E8" i="1"/>
  <c r="E7" i="1"/>
  <c r="E6" i="1"/>
  <c r="E9" i="1" l="1"/>
  <c r="C16" i="1" s="1"/>
  <c r="C17" i="1" l="1"/>
  <c r="F17" i="1" s="1"/>
  <c r="H17" i="1" s="1"/>
  <c r="C13" i="1"/>
  <c r="F13" i="1" s="1"/>
  <c r="H13" i="1" s="1"/>
  <c r="C19" i="1"/>
  <c r="F19" i="1" s="1"/>
  <c r="H19" i="1" s="1"/>
  <c r="C21" i="1"/>
  <c r="F21" i="1" s="1"/>
  <c r="H21" i="1" s="1"/>
  <c r="C18" i="1"/>
  <c r="F18" i="1" s="1"/>
  <c r="H18" i="1" s="1"/>
  <c r="C20" i="1"/>
  <c r="E20" i="1" s="1"/>
  <c r="C14" i="1"/>
  <c r="F14" i="1" s="1"/>
  <c r="H14" i="1" s="1"/>
  <c r="C22" i="1"/>
  <c r="F22" i="1" s="1"/>
  <c r="H22" i="1" s="1"/>
  <c r="C15" i="1"/>
  <c r="E15" i="1" s="1"/>
  <c r="E16" i="1"/>
  <c r="F16" i="1"/>
  <c r="H16" i="1" s="1"/>
  <c r="E13" i="1" l="1"/>
  <c r="E17" i="1"/>
  <c r="E21" i="1"/>
  <c r="E19" i="1"/>
  <c r="F20" i="1"/>
  <c r="H20" i="1" s="1"/>
  <c r="E18" i="1"/>
  <c r="E22" i="1"/>
  <c r="F15" i="1"/>
  <c r="H15" i="1" s="1"/>
  <c r="E14" i="1"/>
  <c r="G22" i="1"/>
  <c r="G18" i="1"/>
  <c r="G16" i="1"/>
  <c r="G14" i="1"/>
  <c r="G17" i="1"/>
  <c r="G13" i="1"/>
  <c r="G21" i="1"/>
  <c r="G19" i="1"/>
  <c r="G20" i="1" l="1"/>
  <c r="G15" i="1"/>
</calcChain>
</file>

<file path=xl/sharedStrings.xml><?xml version="1.0" encoding="utf-8"?>
<sst xmlns="http://schemas.openxmlformats.org/spreadsheetml/2006/main" count="43" uniqueCount="43">
  <si>
    <t>CANELON · ANÁLISIS DE PUNTO DE EQUILIBRIO 2026</t>
  </si>
  <si>
    <t>Proyecto de Fin de Año - Evaluación Financiera de Ventas, Costos Fijos, Costos Variables y Punto de Equilibrio</t>
  </si>
  <si>
    <t>ESTRUCTURA DE COSTOS FIJOS MENSUALES (PERSONAL Y OPERATIVOS)</t>
  </si>
  <si>
    <t>Puesto / Rubro</t>
  </si>
  <si>
    <t>Cantidad</t>
  </si>
  <si>
    <t>Bonificación Ley</t>
  </si>
  <si>
    <t>Costo Total Mensual (Q)</t>
  </si>
  <si>
    <t>Administradora</t>
  </si>
  <si>
    <t>Colaboradores (Sueldo Mínimo)</t>
  </si>
  <si>
    <t>TOTAL COSTOS FIJOS MENSUALES (CFT)</t>
  </si>
  <si>
    <t>EVALUACIÓN MENSUAL DE VENTAS Y PUNTO DE EQUILIBRIO</t>
  </si>
  <si>
    <t>Mes</t>
  </si>
  <si>
    <t>Ventas Totales (Q)</t>
  </si>
  <si>
    <t>Costos Fijos Totales (CFT)</t>
  </si>
  <si>
    <t>Costos Variables Totales (CVT)</t>
  </si>
  <si>
    <t>Costos Totales (CT)</t>
  </si>
  <si>
    <t>Punto de Equilibrio (PE)</t>
  </si>
  <si>
    <t>Diferencia vs PE (Q)</t>
  </si>
  <si>
    <t>Estado vs PE</t>
  </si>
  <si>
    <t>Observaciones / Aclaración</t>
  </si>
  <si>
    <t>Enero 2026</t>
  </si>
  <si>
    <t>Ventas sólidas sobre el nivel de equilibrio</t>
  </si>
  <si>
    <t>Febrero 2026</t>
  </si>
  <si>
    <t>Temporada alta por San Valentín - Nivel superado</t>
  </si>
  <si>
    <t>Marzo 2026</t>
  </si>
  <si>
    <t>Ventas estables sobre el nivel de equilibrio</t>
  </si>
  <si>
    <t>Abril 2026</t>
  </si>
  <si>
    <t>Mes al margen: justo unos quetzales por encima del punto de equilibrio</t>
  </si>
  <si>
    <t>Mayo 2026</t>
  </si>
  <si>
    <t>Excelente desempeño por temporada de Día de la Madre</t>
  </si>
  <si>
    <t>Junio 2026</t>
  </si>
  <si>
    <t>Ventas sostenidas por encima del punto de equilibrio</t>
  </si>
  <si>
    <t>Julio 2026</t>
  </si>
  <si>
    <t>Agosto 2026</t>
  </si>
  <si>
    <t>Buen rendimiento operativo</t>
  </si>
  <si>
    <t>Septiembre 2026</t>
  </si>
  <si>
    <t>Octubre 2026 (al 14/10)</t>
  </si>
  <si>
    <t>Evaluación parcial al 14 de octubre (en desarrollo)</t>
  </si>
  <si>
    <t xml:space="preserve">Buen desempeño por Bono 14 </t>
  </si>
  <si>
    <t>Ventas estables</t>
  </si>
  <si>
    <t>Sueldo Base</t>
  </si>
  <si>
    <t>Observación: Al 14 de octubre se registran Q 14,850.00 (promedio de Q 1,060.71/día). Para alcanzar el punto de equilibrio (Q 35,384.62), se requiere un ritmo de Q 1,207.92/día en los 17 días restantes.   La brecha es normal por dos razones clave:   Evaluación previa a quincena y fin de mes, fechas en las que se concentra el mayor volumen de compras.Pedidos anticipados, ya que la dueña reporta que los encargos programados de mayor valor se solicitan con días de anticipación para la segunda mitad del mes.</t>
  </si>
  <si>
    <t>Bonos e incentivos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</si>
</sst>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 &quot;#,##0.00"/>
  </numFmts>
  <fonts count="9" x14ac:knownFonts="1">
    <font>
      <sz val="11"/>
      <color theme="1"/>
      <name val="Calibri"/>
      <family val="2"/>
      <scheme val="minor"/>
    </font>
    <font>
      <b/>
      <sz val="16"/>
      <color rgb="FFFFFFFF"/>
      <name val="Century Gothic"/>
      <family val="2"/>
    </font>
    <font>
      <sz val="11"/>
      <color theme="1"/>
      <name val="Century Gothic"/>
      <family val="2"/>
    </font>
    <font>
      <i/>
      <sz val="11"/>
      <color rgb="FF1F497D"/>
      <name val="Century Gothic"/>
      <family val="2"/>
    </font>
    <font>
      <b/>
      <sz val="12"/>
      <color rgb="FF1F497D"/>
      <name val="Century Gothic"/>
      <family val="2"/>
    </font>
    <font>
      <b/>
      <sz val="10"/>
      <color rgb="FFFFFFFF"/>
      <name val="Century Gothic"/>
      <family val="2"/>
    </font>
    <font>
      <sz val="10"/>
      <name val="Century Gothic"/>
      <family val="2"/>
    </font>
    <font>
      <b/>
      <sz val="10"/>
      <name val="Century Gothic"/>
      <family val="2"/>
    </font>
    <font>
      <b/>
      <sz val="11"/>
      <name val="Century Gothic"/>
      <family val="2"/>
    </font>
  </fonts>
  <fills count="5">
    <fill>
      <patternFill patternType="none"/>
    </fill>
    <fill>
      <patternFill patternType="gray125"/>
    </fill>
    <fill>
      <patternFill patternType="solid">
        <fgColor rgb="FF1F497D"/>
        <bgColor rgb="FF1F497D"/>
      </patternFill>
    </fill>
    <fill>
      <patternFill patternType="solid">
        <fgColor rgb="FF244062"/>
        <bgColor rgb="FF244062"/>
      </patternFill>
    </fill>
    <fill>
      <patternFill patternType="solid">
        <fgColor rgb="FFDCE6F1"/>
        <bgColor rgb="FFDCE6F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0" borderId="0" xfId="0" applyFont="1"/>
    <xf numFmtId="0" fontId="2" fillId="0" borderId="0" xfId="0" applyFont="1"/>
    <xf numFmtId="0" fontId="3" fillId="0" borderId="0" xfId="0" applyFont="1" applyAlignment="1">
      <alignment horizontal="center" vertical="center"/>
    </xf>
    <xf numFmtId="0" fontId="4" fillId="0" borderId="0" xfId="0" applyFont="1"/>
    <xf numFmtId="0" fontId="5" fillId="3" borderId="1" xfId="0" applyFont="1" applyFill="1" applyBorder="1" applyAlignment="1">
      <alignment horizontal="center" vertical="center"/>
    </xf>
    <xf numFmtId="0" fontId="6" fillId="0" borderId="1" xfId="0" applyFont="1" applyBorder="1"/>
    <xf numFmtId="0" fontId="6" fillId="0" borderId="1" xfId="0" applyFont="1" applyBorder="1" applyAlignment="1">
      <alignment horizontal="center"/>
    </xf>
    <xf numFmtId="164" fontId="6" fillId="0" borderId="1" xfId="0" applyNumberFormat="1" applyFont="1" applyBorder="1" applyAlignment="1">
      <alignment horizontal="right"/>
    </xf>
    <xf numFmtId="0" fontId="7" fillId="0" borderId="1" xfId="0" applyFont="1" applyBorder="1"/>
    <xf numFmtId="0" fontId="2" fillId="0" borderId="1" xfId="0" applyFont="1" applyBorder="1"/>
    <xf numFmtId="164" fontId="8" fillId="4" borderId="1" xfId="0" applyNumberFormat="1" applyFont="1" applyFill="1" applyBorder="1"/>
    <xf numFmtId="0" fontId="5" fillId="2" borderId="1" xfId="0" applyFont="1" applyFill="1" applyBorder="1" applyAlignment="1">
      <alignment horizontal="center" vertical="center" wrapText="1"/>
    </xf>
    <xf numFmtId="0" fontId="2" fillId="0" borderId="1" xfId="0" applyFont="1" applyBorder="1" applyAlignment="1">
      <alignment horizontal="left" vertical="center"/>
    </xf>
    <xf numFmtId="164" fontId="2" fillId="0" borderId="1" xfId="0" applyNumberFormat="1" applyFont="1" applyBorder="1" applyAlignment="1">
      <alignment horizontal="right" vertical="center"/>
    </xf>
    <xf numFmtId="0" fontId="2" fillId="0" borderId="1" xfId="0" applyFont="1" applyBorder="1" applyAlignment="1">
      <alignment horizontal="center" vertical="center"/>
    </xf>
    <xf numFmtId="0" fontId="2" fillId="0" borderId="0" xfId="0" applyFont="1" applyAlignment="1">
      <alignment horizontal="left" vertical="top" wrapText="1"/>
    </xf>
  </cellXfs>
  <cellStyles count="1">
    <cellStyle name="Normal" xfId="0" builtinId="0"/>
  </cellStyles>
  <dxfs count="3">
    <dxf>
      <font>
        <b/>
        <color rgb="FF9C0006"/>
      </font>
      <fill>
        <patternFill patternType="solid">
          <fgColor rgb="FFFFC7CE"/>
          <bgColor rgb="FFFFC7CE"/>
        </patternFill>
      </fill>
    </dxf>
    <dxf>
      <font>
        <b/>
        <color rgb="FF9C6500"/>
      </font>
      <fill>
        <patternFill patternType="solid">
          <fgColor rgb="FFFFEB9C"/>
          <bgColor rgb="FFFFEB9C"/>
        </patternFill>
      </fill>
    </dxf>
    <dxf>
      <font>
        <b/>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66" zoomScaleNormal="66" workbookViewId="0">
      <selection activeCell="E11" sqref="E11"/>
    </sheetView>
  </sheetViews>
  <sheetFormatPr baseColWidth="10" defaultColWidth="9.140625" defaultRowHeight="16.5" x14ac:dyDescent="0.3"/>
  <cols>
    <col min="1" max="1" width="24" style="3" customWidth="1"/>
    <col min="2" max="2" width="18" style="3" customWidth="1"/>
    <col min="3" max="3" width="20.5703125" style="3" customWidth="1"/>
    <col min="4" max="4" width="20.85546875" style="3" bestFit="1" customWidth="1"/>
    <col min="5" max="7" width="18" style="3" customWidth="1"/>
    <col min="8" max="8" width="20.5703125" style="3" customWidth="1"/>
    <col min="9" max="9" width="76.5703125" style="3" bestFit="1" customWidth="1"/>
    <col min="10" max="16384" width="9.140625" style="3"/>
  </cols>
  <sheetData>
    <row r="1" spans="1:9" ht="39.950000000000003" customHeight="1" x14ac:dyDescent="0.3">
      <c r="A1" s="1" t="s">
        <v>0</v>
      </c>
      <c r="B1" s="2"/>
      <c r="C1" s="2"/>
      <c r="D1" s="2"/>
      <c r="E1" s="2"/>
      <c r="F1" s="2"/>
      <c r="G1" s="2"/>
      <c r="H1" s="2"/>
      <c r="I1" s="2"/>
    </row>
    <row r="2" spans="1:9" ht="20.100000000000001" customHeight="1" x14ac:dyDescent="0.3">
      <c r="A2" s="4" t="s">
        <v>1</v>
      </c>
      <c r="B2" s="2"/>
      <c r="C2" s="2"/>
      <c r="D2" s="2"/>
      <c r="E2" s="2"/>
      <c r="F2" s="2"/>
      <c r="G2" s="2"/>
      <c r="H2" s="2"/>
      <c r="I2" s="2"/>
    </row>
    <row r="4" spans="1:9" x14ac:dyDescent="0.3">
      <c r="A4" s="5" t="s">
        <v>2</v>
      </c>
    </row>
    <row r="5" spans="1:9" ht="24" customHeight="1" x14ac:dyDescent="0.3">
      <c r="A5" s="6" t="s">
        <v>3</v>
      </c>
      <c r="B5" s="6" t="s">
        <v>4</v>
      </c>
      <c r="C5" s="6" t="s">
        <v>40</v>
      </c>
      <c r="D5" s="6" t="s">
        <v>5</v>
      </c>
      <c r="E5" s="6" t="s">
        <v>6</v>
      </c>
    </row>
    <row r="6" spans="1:9" x14ac:dyDescent="0.3">
      <c r="A6" s="7" t="s">
        <v>7</v>
      </c>
      <c r="B6" s="8">
        <v>1</v>
      </c>
      <c r="C6" s="9">
        <v>5750</v>
      </c>
      <c r="D6" s="9">
        <v>250</v>
      </c>
      <c r="E6" s="9">
        <f>B6*(C6+D6)</f>
        <v>6000</v>
      </c>
    </row>
    <row r="7" spans="1:9" x14ac:dyDescent="0.3">
      <c r="A7" s="7" t="s">
        <v>8</v>
      </c>
      <c r="B7" s="8">
        <v>3</v>
      </c>
      <c r="C7" s="9">
        <v>4002.28</v>
      </c>
      <c r="D7" s="9">
        <v>250</v>
      </c>
      <c r="E7" s="9">
        <f>B7*(C7+D7)</f>
        <v>12756.840000000002</v>
      </c>
    </row>
    <row r="8" spans="1:9" x14ac:dyDescent="0.3">
      <c r="A8" s="7" t="s">
        <v>42</v>
      </c>
      <c r="B8" s="8">
        <v>1</v>
      </c>
      <c r="C8" s="9">
        <v>4243.16</v>
      </c>
      <c r="D8" s="9">
        <v>0</v>
      </c>
      <c r="E8" s="9">
        <f>B8*(C8+D8)</f>
        <v>4243.16</v>
      </c>
    </row>
    <row r="9" spans="1:9" x14ac:dyDescent="0.3">
      <c r="A9" s="10" t="s">
        <v>9</v>
      </c>
      <c r="B9" s="11"/>
      <c r="C9" s="11"/>
      <c r="D9" s="11"/>
      <c r="E9" s="12">
        <f>SUM(E6:E8)</f>
        <v>23000.000000000004</v>
      </c>
    </row>
    <row r="11" spans="1:9" x14ac:dyDescent="0.3">
      <c r="A11" s="5" t="s">
        <v>10</v>
      </c>
    </row>
    <row r="12" spans="1:9" ht="27.95" customHeight="1" x14ac:dyDescent="0.3">
      <c r="A12" s="13" t="s">
        <v>11</v>
      </c>
      <c r="B12" s="13" t="s">
        <v>12</v>
      </c>
      <c r="C12" s="13" t="s">
        <v>13</v>
      </c>
      <c r="D12" s="13" t="s">
        <v>14</v>
      </c>
      <c r="E12" s="13" t="s">
        <v>15</v>
      </c>
      <c r="F12" s="13" t="s">
        <v>16</v>
      </c>
      <c r="G12" s="13" t="s">
        <v>17</v>
      </c>
      <c r="H12" s="13" t="s">
        <v>18</v>
      </c>
      <c r="I12" s="13" t="s">
        <v>19</v>
      </c>
    </row>
    <row r="13" spans="1:9" ht="21.95" customHeight="1" x14ac:dyDescent="0.3">
      <c r="A13" s="14" t="s">
        <v>20</v>
      </c>
      <c r="B13" s="15">
        <v>35620</v>
      </c>
      <c r="C13" s="15">
        <f t="shared" ref="C13:C22" si="0">$E$9</f>
        <v>23000.000000000004</v>
      </c>
      <c r="D13" s="15">
        <f t="shared" ref="D13:D22" si="1">B13*0.35</f>
        <v>12467</v>
      </c>
      <c r="E13" s="15">
        <f t="shared" ref="E13:E22" si="2">C13+D13</f>
        <v>35467</v>
      </c>
      <c r="F13" s="15">
        <f t="shared" ref="F13:F22" si="3">C13/(1-(D13/B13))</f>
        <v>35384.61538461539</v>
      </c>
      <c r="G13" s="15">
        <f t="shared" ref="G13:G22" si="4">B13-F13</f>
        <v>235.38461538460979</v>
      </c>
      <c r="H13" s="16" t="str">
        <f t="shared" ref="H13:H21" si="5">IF(B13&lt;F13-200, "Bajo el nivel", IF(ABS(B13-F13)&lt;=200, "Justo en el nivel", "Sobre el nivel"))</f>
        <v>Sobre el nivel</v>
      </c>
      <c r="I13" s="14" t="s">
        <v>21</v>
      </c>
    </row>
    <row r="14" spans="1:9" ht="21.95" customHeight="1" x14ac:dyDescent="0.3">
      <c r="A14" s="14" t="s">
        <v>22</v>
      </c>
      <c r="B14" s="15">
        <v>50200</v>
      </c>
      <c r="C14" s="15">
        <f t="shared" si="0"/>
        <v>23000.000000000004</v>
      </c>
      <c r="D14" s="15">
        <f>B14*0.35</f>
        <v>17570</v>
      </c>
      <c r="E14" s="15">
        <f t="shared" si="2"/>
        <v>40570</v>
      </c>
      <c r="F14" s="15">
        <f t="shared" si="3"/>
        <v>35384.61538461539</v>
      </c>
      <c r="G14" s="15">
        <f t="shared" si="4"/>
        <v>14815.38461538461</v>
      </c>
      <c r="H14" s="16" t="str">
        <f t="shared" si="5"/>
        <v>Sobre el nivel</v>
      </c>
      <c r="I14" s="14" t="s">
        <v>23</v>
      </c>
    </row>
    <row r="15" spans="1:9" ht="21.95" customHeight="1" x14ac:dyDescent="0.3">
      <c r="A15" s="14" t="s">
        <v>24</v>
      </c>
      <c r="B15" s="15">
        <v>35800</v>
      </c>
      <c r="C15" s="15">
        <f t="shared" si="0"/>
        <v>23000.000000000004</v>
      </c>
      <c r="D15" s="15">
        <f t="shared" si="1"/>
        <v>12530</v>
      </c>
      <c r="E15" s="15">
        <f t="shared" si="2"/>
        <v>35530</v>
      </c>
      <c r="F15" s="15">
        <f t="shared" si="3"/>
        <v>35384.61538461539</v>
      </c>
      <c r="G15" s="15">
        <f t="shared" si="4"/>
        <v>415.38461538460979</v>
      </c>
      <c r="H15" s="16" t="str">
        <f t="shared" si="5"/>
        <v>Sobre el nivel</v>
      </c>
      <c r="I15" s="14" t="s">
        <v>25</v>
      </c>
    </row>
    <row r="16" spans="1:9" ht="21.95" customHeight="1" x14ac:dyDescent="0.3">
      <c r="A16" s="14" t="s">
        <v>26</v>
      </c>
      <c r="B16" s="15">
        <v>35450</v>
      </c>
      <c r="C16" s="15">
        <f t="shared" si="0"/>
        <v>23000.000000000004</v>
      </c>
      <c r="D16" s="15">
        <f t="shared" si="1"/>
        <v>12407.5</v>
      </c>
      <c r="E16" s="15">
        <f t="shared" si="2"/>
        <v>35407.5</v>
      </c>
      <c r="F16" s="15">
        <f t="shared" si="3"/>
        <v>35384.61538461539</v>
      </c>
      <c r="G16" s="15">
        <f t="shared" si="4"/>
        <v>65.384615384609788</v>
      </c>
      <c r="H16" s="16" t="str">
        <f t="shared" si="5"/>
        <v>Justo en el nivel</v>
      </c>
      <c r="I16" s="14" t="s">
        <v>27</v>
      </c>
    </row>
    <row r="17" spans="1:9" ht="21.95" customHeight="1" x14ac:dyDescent="0.3">
      <c r="A17" s="14" t="s">
        <v>28</v>
      </c>
      <c r="B17" s="15">
        <v>49600</v>
      </c>
      <c r="C17" s="15">
        <f t="shared" si="0"/>
        <v>23000.000000000004</v>
      </c>
      <c r="D17" s="15">
        <f t="shared" si="1"/>
        <v>17360</v>
      </c>
      <c r="E17" s="15">
        <f t="shared" si="2"/>
        <v>40360</v>
      </c>
      <c r="F17" s="15">
        <f t="shared" si="3"/>
        <v>35384.61538461539</v>
      </c>
      <c r="G17" s="15">
        <f t="shared" si="4"/>
        <v>14215.38461538461</v>
      </c>
      <c r="H17" s="16" t="str">
        <f t="shared" si="5"/>
        <v>Sobre el nivel</v>
      </c>
      <c r="I17" s="14" t="s">
        <v>29</v>
      </c>
    </row>
    <row r="18" spans="1:9" ht="21.95" customHeight="1" x14ac:dyDescent="0.3">
      <c r="A18" s="14" t="s">
        <v>30</v>
      </c>
      <c r="B18" s="15">
        <v>36500</v>
      </c>
      <c r="C18" s="15">
        <f t="shared" si="0"/>
        <v>23000.000000000004</v>
      </c>
      <c r="D18" s="15">
        <f t="shared" si="1"/>
        <v>12775</v>
      </c>
      <c r="E18" s="15">
        <f t="shared" si="2"/>
        <v>35775</v>
      </c>
      <c r="F18" s="15">
        <f t="shared" si="3"/>
        <v>35384.61538461539</v>
      </c>
      <c r="G18" s="15">
        <f t="shared" si="4"/>
        <v>1115.3846153846098</v>
      </c>
      <c r="H18" s="16" t="str">
        <f t="shared" si="5"/>
        <v>Sobre el nivel</v>
      </c>
      <c r="I18" s="14" t="s">
        <v>39</v>
      </c>
    </row>
    <row r="19" spans="1:9" ht="21.95" customHeight="1" x14ac:dyDescent="0.3">
      <c r="A19" s="14" t="s">
        <v>32</v>
      </c>
      <c r="B19" s="15">
        <v>42560</v>
      </c>
      <c r="C19" s="15">
        <f t="shared" si="0"/>
        <v>23000.000000000004</v>
      </c>
      <c r="D19" s="15">
        <f t="shared" si="1"/>
        <v>14895.999999999998</v>
      </c>
      <c r="E19" s="15">
        <f t="shared" si="2"/>
        <v>37896</v>
      </c>
      <c r="F19" s="15">
        <f t="shared" si="3"/>
        <v>35384.61538461539</v>
      </c>
      <c r="G19" s="15">
        <f t="shared" si="4"/>
        <v>7175.3846153846098</v>
      </c>
      <c r="H19" s="16" t="str">
        <f t="shared" si="5"/>
        <v>Sobre el nivel</v>
      </c>
      <c r="I19" s="14" t="s">
        <v>38</v>
      </c>
    </row>
    <row r="20" spans="1:9" ht="21.95" customHeight="1" x14ac:dyDescent="0.3">
      <c r="A20" s="14" t="s">
        <v>33</v>
      </c>
      <c r="B20" s="15">
        <v>37800</v>
      </c>
      <c r="C20" s="15">
        <f t="shared" si="0"/>
        <v>23000.000000000004</v>
      </c>
      <c r="D20" s="15">
        <f t="shared" si="1"/>
        <v>13230</v>
      </c>
      <c r="E20" s="15">
        <f t="shared" si="2"/>
        <v>36230</v>
      </c>
      <c r="F20" s="15">
        <f t="shared" si="3"/>
        <v>35384.61538461539</v>
      </c>
      <c r="G20" s="15">
        <f t="shared" si="4"/>
        <v>2415.3846153846098</v>
      </c>
      <c r="H20" s="16" t="str">
        <f t="shared" si="5"/>
        <v>Sobre el nivel</v>
      </c>
      <c r="I20" s="14" t="s">
        <v>34</v>
      </c>
    </row>
    <row r="21" spans="1:9" ht="21.95" customHeight="1" x14ac:dyDescent="0.3">
      <c r="A21" s="14" t="s">
        <v>35</v>
      </c>
      <c r="B21" s="15">
        <v>36024</v>
      </c>
      <c r="C21" s="15">
        <f t="shared" si="0"/>
        <v>23000.000000000004</v>
      </c>
      <c r="D21" s="15">
        <f t="shared" si="1"/>
        <v>12608.4</v>
      </c>
      <c r="E21" s="15">
        <f t="shared" si="2"/>
        <v>35608.400000000001</v>
      </c>
      <c r="F21" s="15">
        <f t="shared" si="3"/>
        <v>35384.61538461539</v>
      </c>
      <c r="G21" s="15">
        <f t="shared" si="4"/>
        <v>639.38461538460979</v>
      </c>
      <c r="H21" s="16" t="str">
        <f t="shared" si="5"/>
        <v>Sobre el nivel</v>
      </c>
      <c r="I21" s="14" t="s">
        <v>31</v>
      </c>
    </row>
    <row r="22" spans="1:9" ht="21.95" customHeight="1" x14ac:dyDescent="0.3">
      <c r="A22" s="14" t="s">
        <v>36</v>
      </c>
      <c r="B22" s="15">
        <v>14850</v>
      </c>
      <c r="C22" s="15">
        <f t="shared" si="0"/>
        <v>23000.000000000004</v>
      </c>
      <c r="D22" s="15">
        <f t="shared" si="1"/>
        <v>5197.5</v>
      </c>
      <c r="E22" s="15">
        <f t="shared" si="2"/>
        <v>28197.500000000004</v>
      </c>
      <c r="F22" s="15">
        <f t="shared" si="3"/>
        <v>35384.61538461539</v>
      </c>
      <c r="G22" s="15">
        <f t="shared" si="4"/>
        <v>-20534.61538461539</v>
      </c>
      <c r="H22" s="16" t="str">
        <f>IF(B22&lt;F22-200, "Bajo el nivel", IF(ABS(B22-F22)&lt;=200, "Justo en el nivel", "Sobre el nivel"))</f>
        <v>Bajo el nivel</v>
      </c>
      <c r="I22" s="14" t="s">
        <v>37</v>
      </c>
    </row>
    <row r="25" spans="1:9" ht="16.5" customHeight="1" x14ac:dyDescent="0.3">
      <c r="A25" s="17" t="s">
        <v>41</v>
      </c>
      <c r="B25" s="17"/>
      <c r="C25" s="17"/>
      <c r="D25" s="17"/>
      <c r="E25" s="17"/>
      <c r="F25" s="17"/>
      <c r="G25" s="17"/>
    </row>
    <row r="26" spans="1:9" x14ac:dyDescent="0.3">
      <c r="A26" s="17"/>
      <c r="B26" s="17"/>
      <c r="C26" s="17"/>
      <c r="D26" s="17"/>
      <c r="E26" s="17"/>
      <c r="F26" s="17"/>
      <c r="G26" s="17"/>
    </row>
    <row r="27" spans="1:9" x14ac:dyDescent="0.3">
      <c r="A27" s="17"/>
      <c r="B27" s="17"/>
      <c r="C27" s="17"/>
      <c r="D27" s="17"/>
      <c r="E27" s="17"/>
      <c r="F27" s="17"/>
      <c r="G27" s="17"/>
    </row>
    <row r="28" spans="1:9" x14ac:dyDescent="0.3">
      <c r="A28" s="17"/>
      <c r="B28" s="17"/>
      <c r="C28" s="17"/>
      <c r="D28" s="17"/>
      <c r="E28" s="17"/>
      <c r="F28" s="17"/>
      <c r="G28" s="17"/>
    </row>
    <row r="29" spans="1:9" x14ac:dyDescent="0.3">
      <c r="A29" s="17"/>
      <c r="B29" s="17"/>
      <c r="C29" s="17"/>
      <c r="D29" s="17"/>
      <c r="E29" s="17"/>
      <c r="F29" s="17"/>
      <c r="G29" s="17"/>
    </row>
  </sheetData>
  <mergeCells count="3">
    <mergeCell ref="A1:I1"/>
    <mergeCell ref="A2:I2"/>
    <mergeCell ref="A25:G29"/>
  </mergeCells>
  <conditionalFormatting sqref="H13:H22">
    <cfRule type="cellIs" dxfId="2" priority="1" operator="equal">
      <formula>"Sobre el nivel"</formula>
    </cfRule>
    <cfRule type="cellIs" dxfId="1" priority="2" operator="equal">
      <formula>"Justo en el nivel"</formula>
    </cfRule>
    <cfRule type="cellIs" dxfId="0" priority="3" operator="equal">
      <formula>"Bajo el nivel"</formula>
    </cfRule>
  </conditionalFormatting>
  <pageMargins left="0.75" right="0.75" top="1" bottom="1" header="0.5" footer="0.5"/>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Punto de Equilibrio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zashaygiron76@gmail.com</cp:lastModifiedBy>
  <dcterms:created xsi:type="dcterms:W3CDTF">2026-10-14T23:20:46Z</dcterms:created>
  <dcterms:modified xsi:type="dcterms:W3CDTF">2026-10-15T00:08:58Z</dcterms:modified>
</cp:coreProperties>
</file>