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5c92cd729ce53/Desktop/Canelon/"/>
    </mc:Choice>
  </mc:AlternateContent>
  <xr:revisionPtr revIDLastSave="695" documentId="8_{73BCACF4-02CA-48FB-B2BD-168834A595B8}" xr6:coauthVersionLast="47" xr6:coauthVersionMax="47" xr10:uidLastSave="{164B0BD2-550D-4DAE-AB93-BCD3AF13A3AE}"/>
  <bookViews>
    <workbookView xWindow="-108" yWindow="-108" windowWidth="23256" windowHeight="12456" xr2:uid="{3A4320B7-4EBE-4B4B-8C38-391152CD5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C3" i="1"/>
  <c r="E32" i="1" s="1"/>
  <c r="F32" i="1" s="1"/>
  <c r="E17" i="1"/>
  <c r="D42" i="1"/>
  <c r="F10" i="1"/>
  <c r="E37" i="1" l="1"/>
  <c r="F37" i="1" s="1"/>
  <c r="E35" i="1"/>
  <c r="F35" i="1" s="1"/>
  <c r="E36" i="1"/>
  <c r="F36" i="1" s="1"/>
  <c r="E30" i="1"/>
  <c r="F30" i="1" s="1"/>
  <c r="E33" i="1"/>
  <c r="F33" i="1" s="1"/>
  <c r="J32" i="1"/>
  <c r="E42" i="1"/>
  <c r="H13" i="1" l="1"/>
  <c r="F42" i="1"/>
  <c r="G13" i="1" s="1"/>
  <c r="C4" i="1"/>
  <c r="E29" i="1"/>
  <c r="F29" i="1" s="1"/>
  <c r="E31" i="1"/>
  <c r="F31" i="1" s="1"/>
  <c r="E34" i="1"/>
  <c r="F34" i="1" s="1"/>
  <c r="E38" i="1"/>
  <c r="F38" i="1" s="1"/>
  <c r="E39" i="1"/>
  <c r="F39" i="1" s="1"/>
  <c r="E40" i="1"/>
  <c r="F40" i="1" s="1"/>
  <c r="E23" i="1"/>
  <c r="F23" i="1" s="1"/>
  <c r="E24" i="1"/>
  <c r="F24" i="1" s="1"/>
  <c r="E41" i="1"/>
  <c r="F41" i="1" s="1"/>
  <c r="E22" i="1"/>
  <c r="F22" i="1" s="1"/>
  <c r="E26" i="1"/>
  <c r="F26" i="1" s="1"/>
  <c r="E27" i="1"/>
  <c r="F27" i="1" s="1"/>
  <c r="E25" i="1"/>
  <c r="F25" i="1" s="1"/>
  <c r="E28" i="1"/>
  <c r="F28" i="1" s="1"/>
  <c r="K27" i="1" l="1"/>
  <c r="K28" i="1"/>
  <c r="K25" i="1"/>
  <c r="K26" i="1"/>
  <c r="K23" i="1"/>
  <c r="K24" i="1"/>
  <c r="K29" i="1"/>
  <c r="K31" i="1"/>
  <c r="K30" i="1"/>
  <c r="K22" i="1"/>
  <c r="F11" i="1"/>
  <c r="H11" i="1" s="1"/>
  <c r="G11" i="1"/>
  <c r="F14" i="1"/>
  <c r="H14" i="1" s="1"/>
  <c r="G14" i="1"/>
  <c r="F15" i="1"/>
  <c r="H15" i="1" s="1"/>
  <c r="G15" i="1"/>
  <c r="F16" i="1"/>
  <c r="H16" i="1" s="1"/>
  <c r="G16" i="1"/>
  <c r="G8" i="1"/>
  <c r="G9" i="1"/>
  <c r="G10" i="1"/>
  <c r="F8" i="1"/>
  <c r="H8" i="1" s="1"/>
  <c r="F9" i="1"/>
  <c r="H9" i="1" s="1"/>
  <c r="H10" i="1"/>
  <c r="F13" i="1"/>
  <c r="K32" i="1" l="1"/>
  <c r="F12" i="1" s="1"/>
  <c r="G12" i="1" s="1"/>
  <c r="F17" i="1"/>
  <c r="H12" i="1" l="1"/>
  <c r="H17" i="1" s="1"/>
  <c r="G17" i="1"/>
</calcChain>
</file>

<file path=xl/sharedStrings.xml><?xml version="1.0" encoding="utf-8"?>
<sst xmlns="http://schemas.openxmlformats.org/spreadsheetml/2006/main" count="65" uniqueCount="51">
  <si>
    <t xml:space="preserve">Concepto </t>
  </si>
  <si>
    <t>Tipo de Gasto</t>
  </si>
  <si>
    <t>Total Estimado Primer Año</t>
  </si>
  <si>
    <t>Estimación General del Costo del Proyecto</t>
  </si>
  <si>
    <t>Gasto mensual</t>
  </si>
  <si>
    <t>Dominio y certificado SSL</t>
  </si>
  <si>
    <t>Gasto Anual</t>
  </si>
  <si>
    <t>Salario Mensual</t>
  </si>
  <si>
    <t xml:space="preserve">Costos de capacitación </t>
  </si>
  <si>
    <t>Actividad</t>
  </si>
  <si>
    <t>Módulo</t>
  </si>
  <si>
    <t>Recolección de información y entrevistas</t>
  </si>
  <si>
    <t>Desarrollo del sistema</t>
  </si>
  <si>
    <t>Inversión inicial</t>
  </si>
  <si>
    <t>Análisis de viabilidad técnica</t>
  </si>
  <si>
    <t xml:space="preserve">Definición de arquitectura tecnológica </t>
  </si>
  <si>
    <t>Diseño de base de datos</t>
  </si>
  <si>
    <t>Mantenimiento del sistema</t>
  </si>
  <si>
    <t>Diseño de interfaz de usuario (UI)</t>
  </si>
  <si>
    <t>Total</t>
  </si>
  <si>
    <t>Implementación de seguridad y roles de usuario</t>
  </si>
  <si>
    <t>Pruebas funcionales</t>
  </si>
  <si>
    <t>Configuración de servicio de host</t>
  </si>
  <si>
    <t>Despliegue del sistema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</si>
  <si>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</si>
  <si>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Diagramación </t>
  </si>
  <si>
    <t xml:space="preserve">Días Est. </t>
  </si>
  <si>
    <t>Costo Est.</t>
  </si>
  <si>
    <t>Duración (hrs)</t>
  </si>
  <si>
    <t>Costo x día (Q)</t>
  </si>
  <si>
    <t>Costo x día (USD)</t>
  </si>
  <si>
    <t>Desarrollo y Análisis del sistema</t>
  </si>
  <si>
    <t>Servidor Hosting</t>
  </si>
  <si>
    <t>Costo hora (8 hrs)</t>
  </si>
  <si>
    <t>Capacitacion</t>
  </si>
  <si>
    <t>Costo Est. Anual (USD)</t>
  </si>
  <si>
    <t>Costo Est. Anual (Q)</t>
  </si>
  <si>
    <t>Costo día (25 días)</t>
  </si>
  <si>
    <t>Costo Est. Mensual (USD)</t>
  </si>
  <si>
    <t>Costo Est. Mensual (Q)</t>
  </si>
  <si>
    <t>Programación Seccion About</t>
  </si>
  <si>
    <t>Programación Seccion Cartdrawer</t>
  </si>
  <si>
    <t>Programación Seccion Login</t>
  </si>
  <si>
    <t>Programación Seccion FAQ</t>
  </si>
  <si>
    <t>Programación Seccion Footer</t>
  </si>
  <si>
    <t>Programación Seccion Hero</t>
  </si>
  <si>
    <t>Programación Seccion Navbar</t>
  </si>
  <si>
    <t>Programación Seccion ProductCarusel</t>
  </si>
  <si>
    <t>Programación Seccion Social</t>
  </si>
  <si>
    <t>Programación módulo dashboard</t>
  </si>
  <si>
    <t>Servidor 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</si>
</sst>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_-[$$-409]* #,##0.00_ ;_-[$$-409]* \-#,##0.00\ ;_-[$$-409]* &quot;-&quot;??_ ;_-@_ "/>
    <numFmt numFmtId="165" formatCode="_-[$Q-100A]* #,##0.00_-;\-[$Q-100A]* #,##0.00_-;_-[$Q-100A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3FF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164" fontId="2" fillId="0" borderId="6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44" fontId="2" fillId="0" borderId="9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2" fillId="0" borderId="7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4" fontId="3" fillId="2" borderId="6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vertical="center"/>
    </xf>
    <xf numFmtId="164" fontId="3" fillId="2" borderId="6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164" fontId="2" fillId="2" borderId="9" xfId="0" applyNumberFormat="1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/>
    <xf numFmtId="44" fontId="3" fillId="0" borderId="0" xfId="0" applyNumberFormat="1" applyFont="1" applyAlignment="1">
      <alignment vertical="center"/>
    </xf>
    <xf numFmtId="164" fontId="2" fillId="2" borderId="0" xfId="0" applyNumberFormat="1" applyFont="1" applyFill="1"/>
    <xf numFmtId="0" fontId="3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3" fillId="2" borderId="13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FF"/>
      <color rgb="FFFFF3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744B-7068-40CD-B290-C0DED15D51CB}">
  <dimension ref="B2:S96"/>
  <sheetViews>
    <sheetView showGridLines="0" tabSelected="1" topLeftCell="A4" zoomScale="80" zoomScaleNormal="80" workbookViewId="0">
      <selection activeCell="H29" sqref="H29:I29"/>
    </sheetView>
  </sheetViews>
  <sheetFormatPr baseColWidth="10" defaultRowHeight="15.6" x14ac:dyDescent="0.3"/>
  <cols>
    <col min="2" max="2" width="21.109375" style="1" customWidth="1"/>
    <col min="3" max="3" width="14.109375" style="1" customWidth="1"/>
    <col min="4" max="4" width="15.88671875" style="1" bestFit="1" customWidth="1"/>
    <col min="5" max="5" width="18.6640625" style="1" customWidth="1"/>
    <col min="6" max="6" width="20.109375" style="1" customWidth="1"/>
    <col min="7" max="7" width="17.88671875" style="1" customWidth="1"/>
    <col min="8" max="8" width="16.6640625" style="1" customWidth="1"/>
    <col min="9" max="9" width="21.5546875" style="1" customWidth="1"/>
    <col min="10" max="10" width="17.5546875" style="1" bestFit="1" customWidth="1"/>
    <col min="11" max="11" width="17.6640625" style="1" bestFit="1" customWidth="1"/>
    <col min="12" max="12" width="11.6640625" style="1" customWidth="1"/>
    <col min="13" max="13" width="14" style="1" bestFit="1" customWidth="1"/>
    <col min="14" max="15" width="11.5546875" style="1"/>
    <col min="16" max="16" width="23.44140625" style="1" bestFit="1" customWidth="1"/>
    <col min="17" max="17" width="13.5546875" style="1" bestFit="1" customWidth="1"/>
    <col min="18" max="18" width="18.44140625" bestFit="1" customWidth="1"/>
    <col min="19" max="19" width="14.21875" bestFit="1" customWidth="1"/>
  </cols>
  <sheetData>
    <row r="2" spans="2:17" x14ac:dyDescent="0.3">
      <c r="B2" s="24" t="s">
        <v>7</v>
      </c>
      <c r="C2" s="26">
        <v>6000</v>
      </c>
    </row>
    <row r="3" spans="2:17" x14ac:dyDescent="0.3">
      <c r="B3" s="24" t="s">
        <v>37</v>
      </c>
      <c r="C3" s="27">
        <f>C2/25</f>
        <v>240</v>
      </c>
    </row>
    <row r="4" spans="2:17" x14ac:dyDescent="0.3">
      <c r="B4" s="24" t="s">
        <v>33</v>
      </c>
      <c r="C4" s="27">
        <f>C3/8</f>
        <v>30</v>
      </c>
    </row>
    <row r="5" spans="2:17" x14ac:dyDescent="0.3">
      <c r="B5" s="2"/>
      <c r="C5" s="2"/>
      <c r="D5" s="2"/>
      <c r="E5" s="2"/>
      <c r="F5" s="2"/>
    </row>
    <row r="6" spans="2:17" s="4" customFormat="1" x14ac:dyDescent="0.3">
      <c r="B6" s="66" t="s">
        <v>3</v>
      </c>
      <c r="C6" s="66"/>
      <c r="D6" s="66"/>
      <c r="E6" s="66"/>
      <c r="F6" s="66"/>
      <c r="G6" s="66"/>
      <c r="H6" s="66"/>
      <c r="I6" s="5"/>
      <c r="J6" s="3"/>
      <c r="K6" s="3"/>
      <c r="L6" s="3"/>
      <c r="M6" s="3"/>
      <c r="N6" s="3"/>
    </row>
    <row r="7" spans="2:17" s="4" customFormat="1" ht="31.2" x14ac:dyDescent="0.3">
      <c r="B7" s="69" t="s">
        <v>0</v>
      </c>
      <c r="C7" s="70"/>
      <c r="D7" s="35" t="s">
        <v>1</v>
      </c>
      <c r="E7" s="35" t="s">
        <v>38</v>
      </c>
      <c r="F7" s="34" t="s">
        <v>39</v>
      </c>
      <c r="G7" s="35" t="s">
        <v>35</v>
      </c>
      <c r="H7" s="35" t="s">
        <v>36</v>
      </c>
      <c r="I7" s="6"/>
      <c r="J7" s="3"/>
      <c r="K7" s="3"/>
      <c r="L7" s="3"/>
      <c r="M7" s="3"/>
      <c r="N7" s="3"/>
    </row>
    <row r="8" spans="2:17" s="4" customFormat="1" x14ac:dyDescent="0.3">
      <c r="B8" s="64" t="s">
        <v>50</v>
      </c>
      <c r="C8" s="65"/>
      <c r="D8" s="36" t="s">
        <v>4</v>
      </c>
      <c r="E8" s="12">
        <v>20</v>
      </c>
      <c r="F8" s="14">
        <f t="shared" ref="F8:F9" si="0">E8*7.63</f>
        <v>152.6</v>
      </c>
      <c r="G8" s="12">
        <f t="shared" ref="G8:H11" si="1">E8*12</f>
        <v>240</v>
      </c>
      <c r="H8" s="14">
        <f t="shared" si="1"/>
        <v>1831.1999999999998</v>
      </c>
      <c r="I8" s="7"/>
      <c r="J8" s="3"/>
      <c r="K8" s="3"/>
      <c r="L8" s="3"/>
      <c r="M8" s="3"/>
      <c r="N8" s="3"/>
    </row>
    <row r="9" spans="2:17" s="4" customFormat="1" x14ac:dyDescent="0.3">
      <c r="B9" s="64" t="s">
        <v>32</v>
      </c>
      <c r="C9" s="65"/>
      <c r="D9" s="36" t="s">
        <v>4</v>
      </c>
      <c r="E9" s="12">
        <v>20</v>
      </c>
      <c r="F9" s="14">
        <f t="shared" si="0"/>
        <v>152.6</v>
      </c>
      <c r="G9" s="12">
        <f t="shared" si="1"/>
        <v>240</v>
      </c>
      <c r="H9" s="14">
        <f t="shared" si="1"/>
        <v>1831.1999999999998</v>
      </c>
      <c r="I9" s="7"/>
      <c r="J9" s="3"/>
      <c r="K9" s="3"/>
      <c r="L9" s="3"/>
      <c r="M9" s="3"/>
      <c r="N9" s="3"/>
    </row>
    <row r="10" spans="2:17" s="4" customFormat="1" x14ac:dyDescent="0.3">
      <c r="B10" s="64" t="s">
        <v>5</v>
      </c>
      <c r="C10" s="65"/>
      <c r="D10" s="36" t="s">
        <v>6</v>
      </c>
      <c r="E10" s="12">
        <v>15</v>
      </c>
      <c r="F10" s="14">
        <f>E10*7.63</f>
        <v>114.45</v>
      </c>
      <c r="G10" s="12">
        <f t="shared" si="1"/>
        <v>180</v>
      </c>
      <c r="H10" s="14">
        <f t="shared" si="1"/>
        <v>1373.4</v>
      </c>
      <c r="I10" s="7"/>
      <c r="J10" s="3"/>
      <c r="K10" s="3"/>
      <c r="L10" s="3"/>
      <c r="M10" s="3"/>
      <c r="N10" s="3"/>
    </row>
    <row r="11" spans="2:17" s="4" customFormat="1" x14ac:dyDescent="0.3">
      <c r="B11" s="64" t="s">
        <v>17</v>
      </c>
      <c r="C11" s="65"/>
      <c r="D11" s="20" t="s">
        <v>4</v>
      </c>
      <c r="E11" s="12">
        <v>100</v>
      </c>
      <c r="F11" s="14">
        <f>E11*7.63</f>
        <v>763</v>
      </c>
      <c r="G11" s="12">
        <f t="shared" si="1"/>
        <v>1200</v>
      </c>
      <c r="H11" s="14">
        <f t="shared" si="1"/>
        <v>9156</v>
      </c>
      <c r="I11" s="7"/>
      <c r="J11" s="3"/>
      <c r="K11" s="3"/>
      <c r="L11" s="3"/>
      <c r="M11" s="3"/>
      <c r="N11" s="3"/>
    </row>
    <row r="12" spans="2:17" x14ac:dyDescent="0.3">
      <c r="B12" s="67" t="s">
        <v>34</v>
      </c>
      <c r="C12" s="68"/>
      <c r="D12" s="40" t="s">
        <v>13</v>
      </c>
      <c r="E12" s="42">
        <f>F12/7.63</f>
        <v>51.114023591087815</v>
      </c>
      <c r="F12" s="39">
        <f>K32</f>
        <v>390</v>
      </c>
      <c r="G12" s="38">
        <f>E12</f>
        <v>51.114023591087815</v>
      </c>
      <c r="H12" s="39">
        <f>G12*7.63</f>
        <v>390</v>
      </c>
      <c r="O12"/>
      <c r="P12"/>
      <c r="Q12"/>
    </row>
    <row r="13" spans="2:17" x14ac:dyDescent="0.3">
      <c r="B13" s="61" t="s">
        <v>12</v>
      </c>
      <c r="C13" s="62"/>
      <c r="D13" s="37" t="s">
        <v>13</v>
      </c>
      <c r="E13" s="38"/>
      <c r="F13" s="39">
        <f>E13*7.63</f>
        <v>0</v>
      </c>
      <c r="G13" s="38">
        <f>F42</f>
        <v>2138.9252948885978</v>
      </c>
      <c r="H13" s="39">
        <f>E42</f>
        <v>16320</v>
      </c>
      <c r="M13"/>
      <c r="N13"/>
      <c r="O13"/>
      <c r="P13"/>
      <c r="Q13"/>
    </row>
    <row r="14" spans="2:17" x14ac:dyDescent="0.3">
      <c r="B14" s="64"/>
      <c r="C14" s="65"/>
      <c r="D14" s="10"/>
      <c r="E14" s="12"/>
      <c r="F14" s="14">
        <f t="shared" ref="F14" si="2">E14*7.63</f>
        <v>0</v>
      </c>
      <c r="G14" s="12">
        <f t="shared" ref="G14:H16" si="3">E14*12</f>
        <v>0</v>
      </c>
      <c r="H14" s="14">
        <f t="shared" si="3"/>
        <v>0</v>
      </c>
    </row>
    <row r="15" spans="2:17" x14ac:dyDescent="0.3">
      <c r="B15" s="64"/>
      <c r="C15" s="65"/>
      <c r="D15" s="10"/>
      <c r="E15" s="12"/>
      <c r="F15" s="14">
        <f t="shared" ref="F15" si="4">E15*7.63</f>
        <v>0</v>
      </c>
      <c r="G15" s="12">
        <f t="shared" si="3"/>
        <v>0</v>
      </c>
      <c r="H15" s="14">
        <f t="shared" si="3"/>
        <v>0</v>
      </c>
    </row>
    <row r="16" spans="2:17" x14ac:dyDescent="0.3">
      <c r="B16" s="64"/>
      <c r="C16" s="65"/>
      <c r="D16" s="10"/>
      <c r="E16" s="12"/>
      <c r="F16" s="14">
        <f t="shared" ref="F16" si="5">E16*7.63</f>
        <v>0</v>
      </c>
      <c r="G16" s="12">
        <f t="shared" si="3"/>
        <v>0</v>
      </c>
      <c r="H16" s="14">
        <f t="shared" si="3"/>
        <v>0</v>
      </c>
    </row>
    <row r="17" spans="2:19" x14ac:dyDescent="0.3">
      <c r="B17" s="46" t="s">
        <v>2</v>
      </c>
      <c r="C17" s="63"/>
      <c r="D17" s="25"/>
      <c r="E17" s="11">
        <f>SUM(E8:E11)</f>
        <v>155</v>
      </c>
      <c r="F17" s="13">
        <f>SUM(F8:F13)</f>
        <v>1572.65</v>
      </c>
      <c r="G17" s="15">
        <f>SUM(G8:G16)</f>
        <v>4050.0393184796858</v>
      </c>
      <c r="H17" s="16">
        <f>SUM(H8:H16)</f>
        <v>30901.8</v>
      </c>
    </row>
    <row r="18" spans="2:19" x14ac:dyDescent="0.3">
      <c r="B18" s="5"/>
      <c r="C18" s="5"/>
      <c r="D18" s="2"/>
      <c r="E18" s="8"/>
      <c r="F18" s="7"/>
      <c r="G18" s="17"/>
      <c r="H18" s="18"/>
    </row>
    <row r="20" spans="2:19" x14ac:dyDescent="0.3">
      <c r="B20" s="48" t="s">
        <v>31</v>
      </c>
      <c r="C20" s="48"/>
      <c r="D20" s="48"/>
      <c r="E20" s="48"/>
      <c r="F20" s="48"/>
      <c r="H20" s="49" t="s">
        <v>8</v>
      </c>
      <c r="I20" s="50"/>
      <c r="J20" s="50"/>
      <c r="K20" s="51"/>
      <c r="R20" s="1"/>
    </row>
    <row r="21" spans="2:19" x14ac:dyDescent="0.3">
      <c r="B21" s="52" t="s">
        <v>9</v>
      </c>
      <c r="C21" s="60"/>
      <c r="D21" s="19" t="s">
        <v>26</v>
      </c>
      <c r="E21" s="43" t="s">
        <v>29</v>
      </c>
      <c r="F21" s="43" t="s">
        <v>30</v>
      </c>
      <c r="H21" s="52" t="s">
        <v>10</v>
      </c>
      <c r="I21" s="53"/>
      <c r="J21" s="29" t="s">
        <v>28</v>
      </c>
      <c r="K21" s="19" t="s">
        <v>27</v>
      </c>
      <c r="R21" s="1"/>
      <c r="S21" s="1"/>
    </row>
    <row r="22" spans="2:19" ht="31.2" customHeight="1" x14ac:dyDescent="0.3">
      <c r="B22" s="56" t="s">
        <v>11</v>
      </c>
      <c r="C22" s="57"/>
      <c r="D22" s="9">
        <v>7</v>
      </c>
      <c r="E22" s="21">
        <f>$C$3*D22</f>
        <v>1680</v>
      </c>
      <c r="F22" s="32">
        <f>E22/7.63</f>
        <v>220.18348623853211</v>
      </c>
      <c r="H22" s="44" t="s">
        <v>40</v>
      </c>
      <c r="I22" s="45"/>
      <c r="J22" s="30">
        <v>1</v>
      </c>
      <c r="K22" s="21">
        <f t="shared" ref="K22:K31" si="6">J22*$C$4</f>
        <v>30</v>
      </c>
      <c r="R22" s="1"/>
      <c r="S22" s="1"/>
    </row>
    <row r="23" spans="2:19" ht="15.6" customHeight="1" x14ac:dyDescent="0.3">
      <c r="B23" s="56" t="s">
        <v>14</v>
      </c>
      <c r="C23" s="57"/>
      <c r="D23" s="9">
        <v>2</v>
      </c>
      <c r="E23" s="21">
        <f t="shared" ref="E23:E27" si="7">$C$3*D23</f>
        <v>480</v>
      </c>
      <c r="F23" s="32">
        <f t="shared" ref="F23:F41" si="8">E23/7.63</f>
        <v>62.909567496723461</v>
      </c>
      <c r="H23" s="44" t="s">
        <v>41</v>
      </c>
      <c r="I23" s="45"/>
      <c r="J23" s="30">
        <v>1</v>
      </c>
      <c r="K23" s="21">
        <f t="shared" si="6"/>
        <v>30</v>
      </c>
      <c r="Q23"/>
    </row>
    <row r="24" spans="2:19" ht="15.6" customHeight="1" x14ac:dyDescent="0.3">
      <c r="B24" s="56" t="s">
        <v>15</v>
      </c>
      <c r="C24" s="57"/>
      <c r="D24" s="9">
        <v>5</v>
      </c>
      <c r="E24" s="21">
        <f t="shared" si="7"/>
        <v>1200</v>
      </c>
      <c r="F24" s="32">
        <f t="shared" si="8"/>
        <v>157.27391874180864</v>
      </c>
      <c r="H24" s="44" t="s">
        <v>42</v>
      </c>
      <c r="I24" s="45"/>
      <c r="J24" s="30">
        <v>2</v>
      </c>
      <c r="K24" s="21">
        <f t="shared" si="6"/>
        <v>60</v>
      </c>
      <c r="Q24"/>
    </row>
    <row r="25" spans="2:19" ht="15.6" customHeight="1" x14ac:dyDescent="0.3">
      <c r="B25" s="58" t="s">
        <v>25</v>
      </c>
      <c r="C25" s="59"/>
      <c r="D25" s="9">
        <v>5</v>
      </c>
      <c r="E25" s="21">
        <f t="shared" si="7"/>
        <v>1200</v>
      </c>
      <c r="F25" s="32">
        <f t="shared" si="8"/>
        <v>157.27391874180864</v>
      </c>
      <c r="H25" s="44" t="s">
        <v>43</v>
      </c>
      <c r="I25" s="45"/>
      <c r="J25" s="30">
        <v>1</v>
      </c>
      <c r="K25" s="21">
        <f t="shared" si="6"/>
        <v>30</v>
      </c>
      <c r="R25" s="1"/>
      <c r="S25" s="1"/>
    </row>
    <row r="26" spans="2:19" ht="15.6" customHeight="1" x14ac:dyDescent="0.3">
      <c r="B26" s="44" t="s">
        <v>16</v>
      </c>
      <c r="C26" s="45"/>
      <c r="D26" s="9">
        <v>7</v>
      </c>
      <c r="E26" s="21">
        <f t="shared" si="7"/>
        <v>1680</v>
      </c>
      <c r="F26" s="32">
        <f t="shared" si="8"/>
        <v>220.18348623853211</v>
      </c>
      <c r="H26" s="44" t="s">
        <v>44</v>
      </c>
      <c r="I26" s="45"/>
      <c r="J26" s="30">
        <v>1</v>
      </c>
      <c r="K26" s="21">
        <f t="shared" si="6"/>
        <v>30</v>
      </c>
      <c r="R26" s="1"/>
      <c r="S26" s="1"/>
    </row>
    <row r="27" spans="2:19" ht="15.6" customHeight="1" x14ac:dyDescent="0.3">
      <c r="B27" s="44" t="s">
        <v>18</v>
      </c>
      <c r="C27" s="45"/>
      <c r="D27" s="9">
        <v>6</v>
      </c>
      <c r="E27" s="21">
        <f t="shared" si="7"/>
        <v>1440</v>
      </c>
      <c r="F27" s="32">
        <f t="shared" si="8"/>
        <v>188.72870249017038</v>
      </c>
      <c r="H27" s="44" t="s">
        <v>46</v>
      </c>
      <c r="I27" s="45"/>
      <c r="J27" s="30">
        <v>1</v>
      </c>
      <c r="K27" s="21">
        <f t="shared" si="6"/>
        <v>30</v>
      </c>
      <c r="R27" s="1"/>
      <c r="S27" s="1"/>
    </row>
    <row r="28" spans="2:19" x14ac:dyDescent="0.3">
      <c r="B28" s="44" t="s">
        <v>40</v>
      </c>
      <c r="C28" s="45"/>
      <c r="D28" s="9">
        <v>2</v>
      </c>
      <c r="E28" s="21">
        <f t="shared" ref="E28:E42" si="9">$C$3*D28</f>
        <v>480</v>
      </c>
      <c r="F28" s="32">
        <f t="shared" si="8"/>
        <v>62.909567496723461</v>
      </c>
      <c r="H28" s="44" t="s">
        <v>45</v>
      </c>
      <c r="I28" s="45"/>
      <c r="J28" s="30">
        <v>1</v>
      </c>
      <c r="K28" s="21">
        <f t="shared" si="6"/>
        <v>30</v>
      </c>
      <c r="R28" s="1"/>
      <c r="S28" s="1"/>
    </row>
    <row r="29" spans="2:19" ht="30.6" customHeight="1" x14ac:dyDescent="0.3">
      <c r="B29" s="44" t="s">
        <v>41</v>
      </c>
      <c r="C29" s="45"/>
      <c r="D29" s="9">
        <v>3</v>
      </c>
      <c r="E29" s="21">
        <f t="shared" si="9"/>
        <v>720</v>
      </c>
      <c r="F29" s="32">
        <f t="shared" si="8"/>
        <v>94.364351245085189</v>
      </c>
      <c r="H29" s="44" t="s">
        <v>47</v>
      </c>
      <c r="I29" s="45"/>
      <c r="J29" s="30">
        <v>2</v>
      </c>
      <c r="K29" s="21">
        <f t="shared" si="6"/>
        <v>60</v>
      </c>
      <c r="N29"/>
      <c r="O29"/>
      <c r="P29"/>
      <c r="Q29"/>
    </row>
    <row r="30" spans="2:19" x14ac:dyDescent="0.3">
      <c r="B30" s="44" t="s">
        <v>42</v>
      </c>
      <c r="C30" s="45"/>
      <c r="D30" s="9">
        <v>1</v>
      </c>
      <c r="E30" s="21">
        <f t="shared" si="9"/>
        <v>240</v>
      </c>
      <c r="F30" s="32">
        <f t="shared" si="8"/>
        <v>31.454783748361731</v>
      </c>
      <c r="H30" s="44" t="s">
        <v>48</v>
      </c>
      <c r="I30" s="45"/>
      <c r="J30" s="30">
        <v>1</v>
      </c>
      <c r="K30" s="21">
        <f t="shared" si="6"/>
        <v>30</v>
      </c>
      <c r="M30"/>
      <c r="N30"/>
      <c r="O30"/>
      <c r="P30"/>
      <c r="Q30"/>
    </row>
    <row r="31" spans="2:19" x14ac:dyDescent="0.3">
      <c r="B31" s="44" t="s">
        <v>43</v>
      </c>
      <c r="C31" s="45"/>
      <c r="D31" s="9">
        <v>1</v>
      </c>
      <c r="E31" s="21">
        <f t="shared" si="9"/>
        <v>240</v>
      </c>
      <c r="F31" s="32">
        <f t="shared" si="8"/>
        <v>31.454783748361731</v>
      </c>
      <c r="H31" s="44" t="s">
        <v>49</v>
      </c>
      <c r="I31" s="45"/>
      <c r="J31" s="30">
        <v>2</v>
      </c>
      <c r="K31" s="21">
        <f t="shared" si="6"/>
        <v>60</v>
      </c>
      <c r="M31"/>
      <c r="N31"/>
      <c r="O31"/>
      <c r="P31"/>
      <c r="Q31"/>
    </row>
    <row r="32" spans="2:19" x14ac:dyDescent="0.3">
      <c r="B32" s="44" t="s">
        <v>44</v>
      </c>
      <c r="C32" s="45"/>
      <c r="D32" s="9">
        <v>1</v>
      </c>
      <c r="E32" s="21">
        <f t="shared" si="9"/>
        <v>240</v>
      </c>
      <c r="F32" s="32">
        <f t="shared" si="8"/>
        <v>31.454783748361731</v>
      </c>
      <c r="H32" s="46" t="s">
        <v>19</v>
      </c>
      <c r="I32" s="47"/>
      <c r="J32" s="31">
        <f>SUM(J22:J31)</f>
        <v>13</v>
      </c>
      <c r="K32" s="28">
        <f>SUM(K22:K31)</f>
        <v>390</v>
      </c>
      <c r="M32"/>
      <c r="N32"/>
      <c r="O32"/>
      <c r="P32"/>
      <c r="Q32"/>
    </row>
    <row r="33" spans="2:17" x14ac:dyDescent="0.3">
      <c r="B33" s="44" t="s">
        <v>46</v>
      </c>
      <c r="C33" s="45"/>
      <c r="D33" s="9">
        <v>1</v>
      </c>
      <c r="E33" s="21">
        <f>$C$3*D33</f>
        <v>240</v>
      </c>
      <c r="F33" s="32">
        <f>E33/7.63</f>
        <v>31.454783748361731</v>
      </c>
      <c r="H33" s="5"/>
      <c r="I33" s="5"/>
      <c r="J33" s="2"/>
      <c r="K33" s="41"/>
      <c r="M33"/>
      <c r="N33"/>
      <c r="O33"/>
      <c r="P33"/>
      <c r="Q33"/>
    </row>
    <row r="34" spans="2:17" x14ac:dyDescent="0.3">
      <c r="B34" s="44" t="s">
        <v>45</v>
      </c>
      <c r="C34" s="45"/>
      <c r="D34" s="9">
        <v>1</v>
      </c>
      <c r="E34" s="21">
        <f>$C$3*D34</f>
        <v>240</v>
      </c>
      <c r="F34" s="32">
        <f>E34/7.63</f>
        <v>31.454783748361731</v>
      </c>
      <c r="H34" s="5"/>
      <c r="I34" s="5"/>
      <c r="J34" s="2"/>
      <c r="K34" s="41"/>
      <c r="M34"/>
      <c r="N34"/>
      <c r="O34"/>
      <c r="P34"/>
      <c r="Q34"/>
    </row>
    <row r="35" spans="2:17" ht="34.200000000000003" customHeight="1" x14ac:dyDescent="0.3">
      <c r="B35" s="44" t="s">
        <v>47</v>
      </c>
      <c r="C35" s="45"/>
      <c r="D35" s="9">
        <v>3</v>
      </c>
      <c r="E35" s="21">
        <f t="shared" ref="E35:E37" si="10">$C$3*D35</f>
        <v>720</v>
      </c>
      <c r="F35" s="32">
        <f t="shared" ref="F35:F37" si="11">E35/7.63</f>
        <v>94.364351245085189</v>
      </c>
      <c r="H35"/>
      <c r="I35"/>
      <c r="J35"/>
      <c r="M35"/>
      <c r="N35"/>
      <c r="O35"/>
      <c r="P35"/>
      <c r="Q35"/>
    </row>
    <row r="36" spans="2:17" x14ac:dyDescent="0.3">
      <c r="B36" s="44" t="s">
        <v>48</v>
      </c>
      <c r="C36" s="45"/>
      <c r="D36" s="9">
        <v>1</v>
      </c>
      <c r="E36" s="21">
        <f t="shared" si="10"/>
        <v>240</v>
      </c>
      <c r="F36" s="32">
        <f t="shared" si="11"/>
        <v>31.454783748361731</v>
      </c>
      <c r="H36"/>
      <c r="I36"/>
      <c r="J36"/>
      <c r="M36"/>
      <c r="N36"/>
      <c r="O36"/>
      <c r="P36"/>
      <c r="Q36"/>
    </row>
    <row r="37" spans="2:17" ht="15.6" customHeight="1" x14ac:dyDescent="0.3">
      <c r="B37" s="44" t="s">
        <v>49</v>
      </c>
      <c r="C37" s="45"/>
      <c r="D37" s="9">
        <v>6</v>
      </c>
      <c r="E37" s="21">
        <f t="shared" si="10"/>
        <v>1440</v>
      </c>
      <c r="F37" s="32">
        <f t="shared" si="11"/>
        <v>188.72870249017038</v>
      </c>
      <c r="M37"/>
      <c r="N37"/>
      <c r="O37"/>
      <c r="P37"/>
      <c r="Q37"/>
    </row>
    <row r="38" spans="2:17" ht="15.6" customHeight="1" x14ac:dyDescent="0.3">
      <c r="B38" s="44" t="s">
        <v>20</v>
      </c>
      <c r="C38" s="45"/>
      <c r="D38" s="9">
        <v>5</v>
      </c>
      <c r="E38" s="21">
        <f t="shared" si="9"/>
        <v>1200</v>
      </c>
      <c r="F38" s="32">
        <f t="shared" si="8"/>
        <v>157.27391874180864</v>
      </c>
      <c r="G38"/>
      <c r="L38"/>
      <c r="M38"/>
      <c r="N38"/>
      <c r="O38"/>
      <c r="P38"/>
      <c r="Q38"/>
    </row>
    <row r="39" spans="2:17" x14ac:dyDescent="0.3">
      <c r="B39" s="44" t="s">
        <v>21</v>
      </c>
      <c r="C39" s="45"/>
      <c r="D39" s="9">
        <v>5</v>
      </c>
      <c r="E39" s="21">
        <f t="shared" si="9"/>
        <v>1200</v>
      </c>
      <c r="F39" s="32">
        <f t="shared" si="8"/>
        <v>157.27391874180864</v>
      </c>
      <c r="G39"/>
      <c r="L39"/>
      <c r="M39"/>
      <c r="N39"/>
      <c r="O39"/>
      <c r="P39"/>
      <c r="Q39"/>
    </row>
    <row r="40" spans="2:17" ht="15" x14ac:dyDescent="0.3">
      <c r="B40" s="44" t="s">
        <v>22</v>
      </c>
      <c r="C40" s="45"/>
      <c r="D40" s="9">
        <v>2</v>
      </c>
      <c r="E40" s="21">
        <f t="shared" si="9"/>
        <v>480</v>
      </c>
      <c r="F40" s="32">
        <f t="shared" si="8"/>
        <v>62.909567496723461</v>
      </c>
      <c r="G40"/>
      <c r="H40"/>
      <c r="I40"/>
      <c r="J40"/>
      <c r="K40"/>
      <c r="L40"/>
      <c r="M40"/>
      <c r="N40"/>
      <c r="O40"/>
      <c r="P40"/>
      <c r="Q40"/>
    </row>
    <row r="41" spans="2:17" ht="15" x14ac:dyDescent="0.3">
      <c r="B41" s="54" t="s">
        <v>23</v>
      </c>
      <c r="C41" s="55"/>
      <c r="D41" s="22">
        <v>4</v>
      </c>
      <c r="E41" s="21">
        <f t="shared" si="9"/>
        <v>960</v>
      </c>
      <c r="F41" s="32">
        <f t="shared" si="8"/>
        <v>125.81913499344692</v>
      </c>
      <c r="G41"/>
      <c r="H41"/>
      <c r="I41"/>
      <c r="J41"/>
      <c r="K41"/>
      <c r="L41"/>
      <c r="M41"/>
      <c r="N41"/>
      <c r="O41"/>
      <c r="P41"/>
      <c r="Q41"/>
    </row>
    <row r="42" spans="2:17" x14ac:dyDescent="0.3">
      <c r="B42" s="46" t="s">
        <v>19</v>
      </c>
      <c r="C42" s="47"/>
      <c r="D42" s="23">
        <f>SUM(D22:D41)</f>
        <v>68</v>
      </c>
      <c r="E42" s="28">
        <f t="shared" si="9"/>
        <v>16320</v>
      </c>
      <c r="F42" s="33">
        <f>E42/7.63</f>
        <v>2138.9252948885978</v>
      </c>
      <c r="G42"/>
      <c r="H42"/>
      <c r="I42"/>
      <c r="J42"/>
      <c r="K42"/>
      <c r="L42"/>
      <c r="M42"/>
      <c r="N42"/>
      <c r="O42"/>
      <c r="P42"/>
      <c r="Q42"/>
    </row>
    <row r="43" spans="2:17" x14ac:dyDescent="0.3"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2:17" x14ac:dyDescent="0.3">
      <c r="G44"/>
      <c r="H44"/>
      <c r="I44"/>
      <c r="J44"/>
      <c r="K44"/>
      <c r="L44"/>
      <c r="M44"/>
      <c r="N44"/>
      <c r="O44"/>
      <c r="P44"/>
      <c r="Q44"/>
    </row>
    <row r="45" spans="2:17" x14ac:dyDescent="0.3">
      <c r="H45"/>
      <c r="I45"/>
      <c r="J45"/>
      <c r="K45"/>
      <c r="L45"/>
      <c r="M45"/>
      <c r="N45"/>
      <c r="O45"/>
      <c r="P45"/>
      <c r="Q45"/>
    </row>
    <row r="46" spans="2:17" x14ac:dyDescent="0.3">
      <c r="H46"/>
      <c r="I46"/>
      <c r="J46"/>
      <c r="K46"/>
      <c r="L46"/>
      <c r="M46"/>
      <c r="N46"/>
      <c r="O46"/>
      <c r="P46"/>
      <c r="Q46"/>
    </row>
    <row r="47" spans="2:17" x14ac:dyDescent="0.3">
      <c r="H47"/>
      <c r="I47"/>
      <c r="J47"/>
      <c r="K47"/>
      <c r="L47"/>
      <c r="M47"/>
      <c r="N47"/>
      <c r="O47"/>
      <c r="P47"/>
      <c r="Q47"/>
    </row>
    <row r="48" spans="2:17" x14ac:dyDescent="0.3">
      <c r="H48"/>
      <c r="I48"/>
      <c r="J48"/>
      <c r="K48"/>
      <c r="L48"/>
      <c r="M48"/>
      <c r="N48"/>
      <c r="O48"/>
      <c r="P48"/>
      <c r="Q48"/>
    </row>
    <row r="49" spans="8:17" x14ac:dyDescent="0.3">
      <c r="L49"/>
      <c r="M49"/>
      <c r="N49"/>
      <c r="O49"/>
      <c r="P49"/>
      <c r="Q49"/>
    </row>
    <row r="50" spans="8:17" x14ac:dyDescent="0.3">
      <c r="L50"/>
      <c r="M50"/>
      <c r="N50"/>
      <c r="O50"/>
      <c r="P50"/>
      <c r="Q50"/>
    </row>
    <row r="51" spans="8:17" x14ac:dyDescent="0.3">
      <c r="H51" s="1" t="s">
        <v>24</v>
      </c>
      <c r="L51"/>
      <c r="M51"/>
      <c r="N51"/>
      <c r="O51"/>
      <c r="P51"/>
      <c r="Q51"/>
    </row>
    <row r="52" spans="8:17" x14ac:dyDescent="0.3">
      <c r="L52"/>
      <c r="M52"/>
      <c r="N52"/>
      <c r="O52"/>
      <c r="P52"/>
      <c r="Q52"/>
    </row>
    <row r="53" spans="8:17" x14ac:dyDescent="0.3">
      <c r="L53"/>
      <c r="M53"/>
      <c r="N53"/>
      <c r="O53"/>
      <c r="P53"/>
      <c r="Q53"/>
    </row>
    <row r="54" spans="8:17" x14ac:dyDescent="0.3">
      <c r="L54"/>
      <c r="M54"/>
      <c r="N54"/>
      <c r="O54"/>
      <c r="P54"/>
      <c r="Q54"/>
    </row>
    <row r="55" spans="8:17" x14ac:dyDescent="0.3">
      <c r="L55"/>
      <c r="M55"/>
      <c r="N55"/>
      <c r="O55"/>
      <c r="P55"/>
      <c r="Q55"/>
    </row>
    <row r="56" spans="8:17" x14ac:dyDescent="0.3">
      <c r="L56"/>
      <c r="M56"/>
      <c r="N56"/>
      <c r="O56"/>
      <c r="P56"/>
      <c r="Q56"/>
    </row>
    <row r="57" spans="8:17" x14ac:dyDescent="0.3">
      <c r="L57"/>
      <c r="M57"/>
      <c r="N57"/>
      <c r="O57"/>
      <c r="P57"/>
      <c r="Q57"/>
    </row>
    <row r="58" spans="8:17" x14ac:dyDescent="0.3">
      <c r="L58"/>
      <c r="M58"/>
      <c r="N58"/>
      <c r="O58"/>
      <c r="P58"/>
      <c r="Q58"/>
    </row>
    <row r="59" spans="8:17" x14ac:dyDescent="0.3">
      <c r="L59"/>
      <c r="M59"/>
      <c r="N59"/>
      <c r="O59"/>
      <c r="P59"/>
      <c r="Q59"/>
    </row>
    <row r="60" spans="8:17" x14ac:dyDescent="0.3">
      <c r="L60"/>
      <c r="M60"/>
      <c r="N60"/>
      <c r="O60"/>
      <c r="P60"/>
      <c r="Q60"/>
    </row>
    <row r="61" spans="8:17" x14ac:dyDescent="0.3">
      <c r="L61"/>
      <c r="M61"/>
      <c r="N61"/>
      <c r="O61"/>
      <c r="P61"/>
      <c r="Q61"/>
    </row>
    <row r="62" spans="8:17" x14ac:dyDescent="0.3">
      <c r="L62"/>
      <c r="M62"/>
      <c r="N62"/>
      <c r="O62"/>
      <c r="P62"/>
      <c r="Q62"/>
    </row>
    <row r="63" spans="8:17" x14ac:dyDescent="0.3">
      <c r="L63"/>
      <c r="M63"/>
      <c r="N63"/>
      <c r="O63"/>
      <c r="P63"/>
      <c r="Q63"/>
    </row>
    <row r="64" spans="8:17" x14ac:dyDescent="0.3">
      <c r="L64"/>
      <c r="M64"/>
      <c r="N64"/>
      <c r="O64"/>
      <c r="P64"/>
      <c r="Q64"/>
    </row>
    <row r="65" spans="12:17" x14ac:dyDescent="0.3">
      <c r="L65"/>
      <c r="M65"/>
      <c r="N65"/>
      <c r="O65"/>
      <c r="P65"/>
      <c r="Q65"/>
    </row>
    <row r="66" spans="12:17" x14ac:dyDescent="0.3">
      <c r="L66"/>
      <c r="M66"/>
      <c r="N66"/>
      <c r="O66"/>
      <c r="P66"/>
      <c r="Q66"/>
    </row>
    <row r="67" spans="12:17" x14ac:dyDescent="0.3">
      <c r="L67"/>
      <c r="M67"/>
      <c r="N67"/>
      <c r="O67"/>
      <c r="P67"/>
      <c r="Q67"/>
    </row>
    <row r="68" spans="12:17" x14ac:dyDescent="0.3">
      <c r="L68"/>
      <c r="M68"/>
      <c r="N68"/>
      <c r="O68"/>
      <c r="P68"/>
      <c r="Q68"/>
    </row>
    <row r="69" spans="12:17" x14ac:dyDescent="0.3">
      <c r="L69"/>
      <c r="M69"/>
      <c r="N69"/>
      <c r="O69"/>
      <c r="P69"/>
      <c r="Q69"/>
    </row>
    <row r="70" spans="12:17" x14ac:dyDescent="0.3">
      <c r="L70"/>
      <c r="M70"/>
      <c r="N70"/>
      <c r="O70"/>
      <c r="P70"/>
      <c r="Q70"/>
    </row>
    <row r="71" spans="12:17" x14ac:dyDescent="0.3">
      <c r="L71"/>
      <c r="M71"/>
      <c r="N71"/>
      <c r="O71"/>
      <c r="P71"/>
      <c r="Q71"/>
    </row>
    <row r="72" spans="12:17" x14ac:dyDescent="0.3">
      <c r="L72"/>
      <c r="M72"/>
      <c r="N72"/>
      <c r="O72"/>
      <c r="P72"/>
      <c r="Q72"/>
    </row>
    <row r="73" spans="12:17" x14ac:dyDescent="0.3">
      <c r="L73"/>
      <c r="M73"/>
      <c r="N73"/>
      <c r="O73"/>
      <c r="P73"/>
      <c r="Q73"/>
    </row>
    <row r="74" spans="12:17" x14ac:dyDescent="0.3">
      <c r="L74"/>
      <c r="M74"/>
      <c r="N74"/>
      <c r="O74"/>
      <c r="P74"/>
      <c r="Q74"/>
    </row>
    <row r="75" spans="12:17" x14ac:dyDescent="0.3">
      <c r="L75"/>
      <c r="M75"/>
      <c r="N75"/>
      <c r="O75"/>
      <c r="P75"/>
      <c r="Q75"/>
    </row>
    <row r="76" spans="12:17" x14ac:dyDescent="0.3">
      <c r="L76"/>
      <c r="M76"/>
      <c r="N76"/>
      <c r="O76"/>
      <c r="P76"/>
      <c r="Q76"/>
    </row>
    <row r="77" spans="12:17" x14ac:dyDescent="0.3">
      <c r="L77"/>
      <c r="M77"/>
      <c r="N77"/>
      <c r="O77"/>
      <c r="P77"/>
      <c r="Q77"/>
    </row>
    <row r="78" spans="12:17" x14ac:dyDescent="0.3">
      <c r="L78"/>
      <c r="M78"/>
      <c r="N78"/>
      <c r="O78"/>
      <c r="P78"/>
      <c r="Q78"/>
    </row>
    <row r="79" spans="12:17" x14ac:dyDescent="0.3">
      <c r="L79"/>
      <c r="M79"/>
      <c r="N79"/>
      <c r="O79"/>
      <c r="P79"/>
      <c r="Q79"/>
    </row>
    <row r="80" spans="12:17" x14ac:dyDescent="0.3">
      <c r="L80"/>
      <c r="M80"/>
      <c r="N80"/>
      <c r="O80"/>
      <c r="P80"/>
      <c r="Q80"/>
    </row>
    <row r="81" spans="12:17" x14ac:dyDescent="0.3">
      <c r="L81"/>
      <c r="M81"/>
      <c r="N81"/>
      <c r="O81"/>
      <c r="P81"/>
      <c r="Q81"/>
    </row>
    <row r="82" spans="12:17" x14ac:dyDescent="0.3">
      <c r="L82"/>
      <c r="M82"/>
      <c r="N82"/>
      <c r="O82"/>
      <c r="P82"/>
      <c r="Q82"/>
    </row>
    <row r="83" spans="12:17" x14ac:dyDescent="0.3">
      <c r="L83"/>
      <c r="M83"/>
      <c r="N83"/>
      <c r="O83"/>
      <c r="P83"/>
      <c r="Q83"/>
    </row>
    <row r="84" spans="12:17" x14ac:dyDescent="0.3">
      <c r="L84"/>
      <c r="M84"/>
      <c r="N84"/>
      <c r="O84"/>
      <c r="P84"/>
      <c r="Q84"/>
    </row>
    <row r="85" spans="12:17" x14ac:dyDescent="0.3">
      <c r="L85"/>
      <c r="M85"/>
      <c r="N85"/>
      <c r="O85"/>
      <c r="P85"/>
      <c r="Q85"/>
    </row>
    <row r="86" spans="12:17" x14ac:dyDescent="0.3">
      <c r="L86"/>
      <c r="M86"/>
      <c r="N86"/>
      <c r="O86"/>
      <c r="P86"/>
      <c r="Q86"/>
    </row>
    <row r="87" spans="12:17" x14ac:dyDescent="0.3">
      <c r="L87"/>
      <c r="M87"/>
      <c r="N87"/>
      <c r="O87"/>
      <c r="P87"/>
      <c r="Q87"/>
    </row>
    <row r="88" spans="12:17" x14ac:dyDescent="0.3">
      <c r="L88"/>
      <c r="M88"/>
      <c r="N88"/>
      <c r="O88"/>
      <c r="P88"/>
      <c r="Q88"/>
    </row>
    <row r="89" spans="12:17" x14ac:dyDescent="0.3">
      <c r="L89"/>
      <c r="M89"/>
      <c r="N89"/>
      <c r="O89"/>
      <c r="P89"/>
      <c r="Q89"/>
    </row>
    <row r="90" spans="12:17" x14ac:dyDescent="0.3">
      <c r="L90"/>
      <c r="M90"/>
      <c r="N90"/>
      <c r="O90"/>
      <c r="P90"/>
      <c r="Q90"/>
    </row>
    <row r="91" spans="12:17" x14ac:dyDescent="0.3">
      <c r="L91"/>
      <c r="M91"/>
      <c r="N91"/>
      <c r="O91"/>
      <c r="P91"/>
      <c r="Q91"/>
    </row>
    <row r="92" spans="12:17" x14ac:dyDescent="0.3">
      <c r="L92"/>
      <c r="M92"/>
      <c r="N92"/>
      <c r="O92"/>
      <c r="P92"/>
      <c r="Q92"/>
    </row>
    <row r="93" spans="12:17" x14ac:dyDescent="0.3">
      <c r="L93"/>
      <c r="M93"/>
      <c r="N93"/>
      <c r="O93"/>
      <c r="P93"/>
      <c r="Q93"/>
    </row>
    <row r="94" spans="12:17" x14ac:dyDescent="0.3">
      <c r="L94"/>
      <c r="M94"/>
      <c r="N94"/>
      <c r="O94"/>
      <c r="P94"/>
      <c r="Q94"/>
    </row>
    <row r="95" spans="12:17" x14ac:dyDescent="0.3">
      <c r="L95"/>
      <c r="M95"/>
      <c r="N95"/>
      <c r="O95"/>
      <c r="P95"/>
      <c r="Q95"/>
    </row>
    <row r="96" spans="12:17" x14ac:dyDescent="0.3">
      <c r="L96"/>
      <c r="M96"/>
      <c r="N96"/>
      <c r="O96"/>
      <c r="P96"/>
      <c r="Q96"/>
    </row>
  </sheetData>
  <mergeCells count="48">
    <mergeCell ref="B6:H6"/>
    <mergeCell ref="B11:C11"/>
    <mergeCell ref="B12:C12"/>
    <mergeCell ref="B7:C7"/>
    <mergeCell ref="B8:C8"/>
    <mergeCell ref="B9:C9"/>
    <mergeCell ref="B10:C10"/>
    <mergeCell ref="B40:C40"/>
    <mergeCell ref="B13:C13"/>
    <mergeCell ref="B17:C17"/>
    <mergeCell ref="B14:C14"/>
    <mergeCell ref="B15:C15"/>
    <mergeCell ref="B16:C16"/>
    <mergeCell ref="B37:C37"/>
    <mergeCell ref="B21:C21"/>
    <mergeCell ref="B34:C34"/>
    <mergeCell ref="B36:C36"/>
    <mergeCell ref="B35:C35"/>
    <mergeCell ref="B42:C42"/>
    <mergeCell ref="B32:C32"/>
    <mergeCell ref="H25:I25"/>
    <mergeCell ref="B33:C33"/>
    <mergeCell ref="H26:I26"/>
    <mergeCell ref="H29:I29"/>
    <mergeCell ref="H30:I30"/>
    <mergeCell ref="B38:C38"/>
    <mergeCell ref="B39:C39"/>
    <mergeCell ref="B30:C30"/>
    <mergeCell ref="B41:C41"/>
    <mergeCell ref="B25:C25"/>
    <mergeCell ref="B26:C26"/>
    <mergeCell ref="B27:C27"/>
    <mergeCell ref="B28:C28"/>
    <mergeCell ref="B29:C29"/>
    <mergeCell ref="H27:I27"/>
    <mergeCell ref="H28:I28"/>
    <mergeCell ref="H31:I31"/>
    <mergeCell ref="H32:I32"/>
    <mergeCell ref="B20:F20"/>
    <mergeCell ref="H20:K20"/>
    <mergeCell ref="H21:I21"/>
    <mergeCell ref="H22:I22"/>
    <mergeCell ref="H23:I23"/>
    <mergeCell ref="H24:I24"/>
    <mergeCell ref="B22:C22"/>
    <mergeCell ref="B23:C23"/>
    <mergeCell ref="B24:C24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21635 - KEVIN ALEXANDER NATARENO NAJERA</dc:creator>
  <cp:lastModifiedBy>vennus ss</cp:lastModifiedBy>
  <dcterms:created xsi:type="dcterms:W3CDTF">2026-09-08T13:02:51Z</dcterms:created>
  <dcterms:modified xsi:type="dcterms:W3CDTF">2026-10-03T03:51:45Z</dcterms:modified>
</cp:coreProperties>
</file>